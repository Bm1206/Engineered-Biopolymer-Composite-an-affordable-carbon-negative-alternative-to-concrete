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ey\Downloads\"/>
    </mc:Choice>
  </mc:AlternateContent>
  <xr:revisionPtr revIDLastSave="0" documentId="13_ncr:1_{391D8517-4507-4B58-9DED-18C959DB4E0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mpact Characterization" sheetId="1" r:id="rId1"/>
    <sheet name="Damage 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38" i="2" s="1"/>
  <c r="J38" i="2" s="1"/>
  <c r="B29" i="2"/>
  <c r="B29" i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B45" i="2"/>
  <c r="I21" i="2" s="1"/>
  <c r="B42" i="2"/>
  <c r="B41" i="2"/>
  <c r="B47" i="2" s="1"/>
  <c r="B39" i="2"/>
  <c r="B44" i="2" s="1"/>
  <c r="H40" i="2"/>
  <c r="J40" i="2" s="1"/>
  <c r="H22" i="2"/>
  <c r="H39" i="2" s="1"/>
  <c r="J39" i="2" s="1"/>
  <c r="B9" i="2"/>
  <c r="B45" i="1"/>
  <c r="B39" i="1"/>
  <c r="B9" i="1"/>
  <c r="B42" i="1"/>
  <c r="B41" i="1"/>
  <c r="B47" i="1" s="1"/>
  <c r="G21" i="2" l="1"/>
  <c r="G22" i="2"/>
  <c r="I22" i="2"/>
  <c r="I23" i="2"/>
  <c r="G38" i="2"/>
  <c r="I38" i="2" s="1"/>
  <c r="G39" i="2"/>
  <c r="I39" i="2" s="1"/>
  <c r="G40" i="2"/>
  <c r="I40" i="2" s="1"/>
  <c r="B44" i="1"/>
  <c r="G32" i="1" s="1"/>
  <c r="K34" i="1" s="1"/>
  <c r="M34" i="1" s="1"/>
  <c r="G23" i="1"/>
  <c r="K25" i="1" s="1"/>
  <c r="M25" i="1" s="1"/>
  <c r="G26" i="1"/>
  <c r="K28" i="1" s="1"/>
  <c r="M28" i="1" s="1"/>
  <c r="G27" i="1"/>
  <c r="K29" i="1" s="1"/>
  <c r="M29" i="1" s="1"/>
  <c r="G28" i="1"/>
  <c r="K30" i="1" s="1"/>
  <c r="M30" i="1" s="1"/>
  <c r="G30" i="1" l="1"/>
  <c r="K32" i="1" s="1"/>
  <c r="M32" i="1" s="1"/>
  <c r="G25" i="1"/>
  <c r="K27" i="1" s="1"/>
  <c r="M27" i="1" s="1"/>
  <c r="G24" i="1"/>
  <c r="K26" i="1" s="1"/>
  <c r="M26" i="1" s="1"/>
  <c r="G22" i="1"/>
  <c r="K24" i="1" s="1"/>
  <c r="M24" i="1" s="1"/>
  <c r="G31" i="1"/>
  <c r="K33" i="1" s="1"/>
  <c r="M33" i="1" s="1"/>
  <c r="G29" i="1"/>
  <c r="K31" i="1" s="1"/>
  <c r="M31" i="1" s="1"/>
  <c r="G21" i="1"/>
  <c r="K23" i="1" s="1"/>
  <c r="M23" i="1" s="1"/>
</calcChain>
</file>

<file path=xl/sharedStrings.xml><?xml version="1.0" encoding="utf-8"?>
<sst xmlns="http://schemas.openxmlformats.org/spreadsheetml/2006/main" count="193" uniqueCount="68">
  <si>
    <t>Amounts for each one</t>
  </si>
  <si>
    <t>Amount</t>
  </si>
  <si>
    <t>Units</t>
  </si>
  <si>
    <t>Acetic Acid</t>
  </si>
  <si>
    <t>kg</t>
  </si>
  <si>
    <t>Impact Data per unit from SimaPro</t>
  </si>
  <si>
    <t>DMSO</t>
  </si>
  <si>
    <t>Impact category</t>
  </si>
  <si>
    <t>Unit</t>
  </si>
  <si>
    <t>Electricity</t>
  </si>
  <si>
    <t>Lignin</t>
  </si>
  <si>
    <t>Transportation</t>
  </si>
  <si>
    <t>Water</t>
  </si>
  <si>
    <t>kWh</t>
  </si>
  <si>
    <t>Carcinogens</t>
  </si>
  <si>
    <t>kg C2H3Cl eq</t>
  </si>
  <si>
    <t>Non-carcinogens</t>
  </si>
  <si>
    <t>tkm</t>
  </si>
  <si>
    <t>Respiratory inorganics</t>
  </si>
  <si>
    <t>kg PM2.5 eq</t>
  </si>
  <si>
    <t>Ozone layer depletion</t>
  </si>
  <si>
    <t>kg CFC-11 eq</t>
  </si>
  <si>
    <t>Scale factor</t>
  </si>
  <si>
    <t>Respiratory organics</t>
  </si>
  <si>
    <t>kg C2H4 eq</t>
  </si>
  <si>
    <t>Density of EBC</t>
  </si>
  <si>
    <t>kg/m3</t>
  </si>
  <si>
    <t>Aquatic ecotoxicity</t>
  </si>
  <si>
    <t>kg TEG water</t>
  </si>
  <si>
    <t>Density of Concrete</t>
  </si>
  <si>
    <t>Terrestrial ecotoxicity</t>
  </si>
  <si>
    <t>kg TEG soil</t>
  </si>
  <si>
    <t>Terrestrial acid/nutri</t>
  </si>
  <si>
    <t>kg SO2 eq</t>
  </si>
  <si>
    <t>EBC Strength</t>
  </si>
  <si>
    <t>MPa</t>
  </si>
  <si>
    <t>Land occupation</t>
  </si>
  <si>
    <t>m2org.arable</t>
  </si>
  <si>
    <t xml:space="preserve">Concrete Strength </t>
  </si>
  <si>
    <t>Aquatic acidification</t>
  </si>
  <si>
    <t>Aquatic eutrophication</t>
  </si>
  <si>
    <t>kg PO4 P-lim</t>
  </si>
  <si>
    <t>Global warming</t>
  </si>
  <si>
    <t>kg CO2 eq</t>
  </si>
  <si>
    <t>MJ primary</t>
  </si>
  <si>
    <t>Scenario 1</t>
  </si>
  <si>
    <t>Scenario 1: 15% recapture and lignin waste product</t>
  </si>
  <si>
    <t>Percent recapture</t>
  </si>
  <si>
    <t>Lignin/c ratio</t>
  </si>
  <si>
    <t>Scenario 1: 0% recapture and lignin main product</t>
  </si>
  <si>
    <t>Efficiency</t>
  </si>
  <si>
    <t>per mpa</t>
  </si>
  <si>
    <t>LignoBlock</t>
  </si>
  <si>
    <t>Amount used</t>
  </si>
  <si>
    <t>Electricity (Oven)</t>
  </si>
  <si>
    <t>Electricity (Mixing)</t>
  </si>
  <si>
    <t>Total_elec</t>
  </si>
  <si>
    <t>EBC</t>
  </si>
  <si>
    <t>Concrete</t>
  </si>
  <si>
    <t>Human health</t>
  </si>
  <si>
    <t>DALY</t>
  </si>
  <si>
    <t>Ecosystem quality</t>
  </si>
  <si>
    <t>PDF*m2*yr</t>
  </si>
  <si>
    <t>Climate change</t>
  </si>
  <si>
    <t>Resources</t>
  </si>
  <si>
    <t>per m^3</t>
  </si>
  <si>
    <t>per m^3 Mpa</t>
  </si>
  <si>
    <t>Scenario: 15% recapture and lignin waste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</si>
</sst>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42424"/>
      <name val="Consolas"/>
      <charset val="1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4" borderId="0" xfId="0" applyFont="1" applyFill="1"/>
    <xf numFmtId="11" fontId="1" fillId="0" borderId="0" xfId="0" applyNumberFormat="1" applyFont="1"/>
    <xf numFmtId="11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11" fontId="0" fillId="3" borderId="0" xfId="0" applyNumberFormat="1" applyFill="1"/>
    <xf numFmtId="0" fontId="0" fillId="10" borderId="0" xfId="0" applyFill="1"/>
    <xf numFmtId="0" fontId="0" fillId="11" borderId="0" xfId="0" applyFill="1"/>
    <xf numFmtId="0" fontId="0" fillId="0" borderId="0" xfId="0" applyFill="1"/>
    <xf numFmtId="0" fontId="1" fillId="0" borderId="0" xfId="0" applyFont="1" applyFill="1"/>
    <xf numFmtId="11" fontId="1" fillId="0" borderId="0" xfId="0" applyNumberFormat="1" applyFont="1" applyFill="1"/>
    <xf numFmtId="11" fontId="0" fillId="0" borderId="0" xfId="0" applyNumberFormat="1" applyFill="1"/>
    <xf numFmtId="0" fontId="3" fillId="0" borderId="0" xfId="0" applyFont="1"/>
    <xf numFmtId="11" fontId="3" fillId="0" borderId="0" xfId="0" applyNumberFormat="1" applyFont="1"/>
    <xf numFmtId="0" fontId="3" fillId="1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opLeftCell="A13" workbookViewId="0">
      <selection activeCell="B47" sqref="B47"/>
    </sheetView>
  </sheetViews>
  <sheetFormatPr defaultRowHeight="15" x14ac:dyDescent="0.25"/>
  <cols>
    <col min="1" max="1" width="36.140625" customWidth="1"/>
    <col min="2" max="2" width="16.140625" customWidth="1"/>
    <col min="6" max="6" width="35.42578125" customWidth="1"/>
    <col min="7" max="7" width="20.42578125" customWidth="1"/>
    <col min="9" max="9" width="9.28515625" bestFit="1" customWidth="1"/>
    <col min="10" max="10" width="19.85546875" customWidth="1"/>
    <col min="11" max="11" width="9.28515625" bestFit="1" customWidth="1"/>
    <col min="13" max="13" width="9.28515625" bestFit="1" customWidth="1"/>
  </cols>
  <sheetData>
    <row r="1" spans="1:18" x14ac:dyDescent="0.25">
      <c r="A1" s="9" t="s">
        <v>0</v>
      </c>
      <c r="B1" s="9" t="s">
        <v>1</v>
      </c>
      <c r="C1" s="9" t="s">
        <v>2</v>
      </c>
    </row>
    <row r="2" spans="1:18" x14ac:dyDescent="0.25">
      <c r="A2" t="s">
        <v>3</v>
      </c>
      <c r="B2">
        <v>1</v>
      </c>
      <c r="C2" t="s">
        <v>4</v>
      </c>
      <c r="F2" s="1" t="s">
        <v>5</v>
      </c>
      <c r="G2" s="1"/>
      <c r="H2" s="1"/>
      <c r="I2" s="1"/>
      <c r="J2" s="1"/>
      <c r="K2" s="1"/>
      <c r="L2" s="1"/>
      <c r="M2" s="1"/>
      <c r="O2" s="16"/>
      <c r="P2" s="16"/>
      <c r="Q2" s="16"/>
      <c r="R2" s="16"/>
    </row>
    <row r="3" spans="1:18" x14ac:dyDescent="0.25">
      <c r="A3" t="s">
        <v>6</v>
      </c>
      <c r="B3">
        <v>1</v>
      </c>
      <c r="C3" t="s">
        <v>4</v>
      </c>
      <c r="F3" s="2" t="s">
        <v>7</v>
      </c>
      <c r="G3" s="2" t="s">
        <v>8</v>
      </c>
      <c r="H3" s="2" t="s">
        <v>3</v>
      </c>
      <c r="I3" t="s">
        <v>6</v>
      </c>
      <c r="J3" s="16" t="s">
        <v>9</v>
      </c>
      <c r="K3" t="s">
        <v>10</v>
      </c>
      <c r="L3" t="s">
        <v>11</v>
      </c>
      <c r="M3" t="s">
        <v>12</v>
      </c>
      <c r="O3" s="16"/>
      <c r="P3" s="16"/>
      <c r="Q3" s="16"/>
      <c r="R3" s="16"/>
    </row>
    <row r="4" spans="1:18" x14ac:dyDescent="0.25">
      <c r="A4" t="s">
        <v>9</v>
      </c>
      <c r="B4">
        <v>1</v>
      </c>
      <c r="C4" t="s">
        <v>13</v>
      </c>
      <c r="F4" s="4" t="s">
        <v>14</v>
      </c>
      <c r="G4" s="2" t="s">
        <v>15</v>
      </c>
      <c r="H4" s="2">
        <v>0.13635</v>
      </c>
      <c r="I4" s="2">
        <v>0.46240700000000001</v>
      </c>
      <c r="J4" s="17">
        <v>5.3825234000000003E-3</v>
      </c>
      <c r="K4" s="2">
        <v>3.6892000000000001E-2</v>
      </c>
      <c r="L4" s="5">
        <v>6.3100000000000002E-5</v>
      </c>
      <c r="M4" s="5">
        <v>3.7699999999999999E-6</v>
      </c>
      <c r="O4" s="17"/>
      <c r="P4" s="17"/>
      <c r="Q4" s="16"/>
      <c r="R4" s="16"/>
    </row>
    <row r="5" spans="1:18" x14ac:dyDescent="0.25">
      <c r="A5" t="s">
        <v>10</v>
      </c>
      <c r="B5">
        <v>1</v>
      </c>
      <c r="C5" t="s">
        <v>4</v>
      </c>
      <c r="F5" s="4" t="s">
        <v>16</v>
      </c>
      <c r="G5" s="2" t="s">
        <v>15</v>
      </c>
      <c r="H5" s="2">
        <v>2.9874000000000001E-2</v>
      </c>
      <c r="I5" s="2">
        <v>6.7004999999999995E-2</v>
      </c>
      <c r="J5" s="17">
        <v>4.3522880000000002E-3</v>
      </c>
      <c r="K5" s="2">
        <v>8.4842000000000001E-2</v>
      </c>
      <c r="L5" s="2">
        <v>1.2831E-2</v>
      </c>
      <c r="M5" s="5">
        <v>6.9600000000000003E-6</v>
      </c>
      <c r="O5" s="17"/>
      <c r="P5" s="17"/>
      <c r="Q5" s="16"/>
      <c r="R5" s="16"/>
    </row>
    <row r="6" spans="1:18" x14ac:dyDescent="0.25">
      <c r="A6" t="s">
        <v>11</v>
      </c>
      <c r="B6">
        <v>1</v>
      </c>
      <c r="C6" t="s">
        <v>17</v>
      </c>
      <c r="F6" s="4" t="s">
        <v>18</v>
      </c>
      <c r="G6" s="2" t="s">
        <v>19</v>
      </c>
      <c r="H6" s="2">
        <v>1.8749999999999999E-3</v>
      </c>
      <c r="I6" s="2">
        <v>-5.1999999999999995E-4</v>
      </c>
      <c r="J6" s="17">
        <v>3.6056495000000001E-4</v>
      </c>
      <c r="K6" s="2">
        <v>2.6649999999999998E-3</v>
      </c>
      <c r="L6" s="2">
        <v>1.9699999999999999E-4</v>
      </c>
      <c r="M6" s="5">
        <v>2.0699999999999999E-7</v>
      </c>
      <c r="O6" s="17"/>
      <c r="P6" s="17"/>
      <c r="Q6" s="16"/>
      <c r="R6" s="16"/>
    </row>
    <row r="7" spans="1:18" x14ac:dyDescent="0.25">
      <c r="A7" t="s">
        <v>12</v>
      </c>
      <c r="B7">
        <v>1</v>
      </c>
      <c r="C7" t="s">
        <v>4</v>
      </c>
      <c r="F7" s="4" t="s">
        <v>20</v>
      </c>
      <c r="G7" s="2" t="s">
        <v>21</v>
      </c>
      <c r="H7" s="5">
        <v>1.5800000000000001E-7</v>
      </c>
      <c r="I7" s="5">
        <v>9.2900000000000005E-8</v>
      </c>
      <c r="J7" s="18">
        <v>2.94792945E-9</v>
      </c>
      <c r="K7" s="5">
        <v>5.8799999999999997E-8</v>
      </c>
      <c r="L7" s="5">
        <v>7.5100000000000001E-12</v>
      </c>
      <c r="M7" s="5">
        <v>6.2699999999999997E-12</v>
      </c>
      <c r="O7" s="17"/>
      <c r="P7" s="17"/>
      <c r="Q7" s="16"/>
      <c r="R7" s="16"/>
    </row>
    <row r="8" spans="1:18" x14ac:dyDescent="0.25">
      <c r="F8" s="4" t="s">
        <v>23</v>
      </c>
      <c r="G8" s="2" t="s">
        <v>24</v>
      </c>
      <c r="H8" s="2">
        <v>1.7589999999999999E-3</v>
      </c>
      <c r="I8" s="2">
        <v>9.77E-4</v>
      </c>
      <c r="J8" s="18">
        <v>4.691247E-5</v>
      </c>
      <c r="K8" s="2">
        <v>7.5699999999999997E-4</v>
      </c>
      <c r="L8" s="5">
        <v>9.8900000000000005E-5</v>
      </c>
      <c r="M8" s="5">
        <v>1.0700000000000001E-7</v>
      </c>
      <c r="O8" s="18"/>
      <c r="P8" s="18"/>
      <c r="Q8" s="19"/>
      <c r="R8" s="19"/>
    </row>
    <row r="9" spans="1:18" x14ac:dyDescent="0.25">
      <c r="A9" t="s">
        <v>22</v>
      </c>
      <c r="B9">
        <f>1-0.208955</f>
        <v>0.791045</v>
      </c>
      <c r="F9" s="7" t="s">
        <v>27</v>
      </c>
      <c r="G9" s="2" t="s">
        <v>28</v>
      </c>
      <c r="H9" s="2">
        <v>186.9479</v>
      </c>
      <c r="I9" s="2">
        <v>187.5908</v>
      </c>
      <c r="J9" s="17">
        <v>25.148296614999996</v>
      </c>
      <c r="K9" s="2">
        <v>321.95960000000002</v>
      </c>
      <c r="L9" s="2">
        <v>85.465940000000003</v>
      </c>
      <c r="M9" s="2">
        <v>4.6643559999999997</v>
      </c>
      <c r="O9" s="17"/>
      <c r="P9" s="17"/>
      <c r="Q9" s="19"/>
      <c r="R9" s="19"/>
    </row>
    <row r="10" spans="1:18" x14ac:dyDescent="0.25">
      <c r="A10" t="s">
        <v>25</v>
      </c>
      <c r="B10">
        <v>1805</v>
      </c>
      <c r="C10" t="s">
        <v>26</v>
      </c>
      <c r="F10" s="7" t="s">
        <v>30</v>
      </c>
      <c r="G10" s="2" t="s">
        <v>31</v>
      </c>
      <c r="H10" s="2">
        <v>23.500330000000002</v>
      </c>
      <c r="I10" s="2">
        <v>16.848559999999999</v>
      </c>
      <c r="J10" s="17">
        <v>0.227878891</v>
      </c>
      <c r="K10" s="2">
        <v>112.52509999999999</v>
      </c>
      <c r="L10" s="2">
        <v>9.4520000000000003E-3</v>
      </c>
      <c r="M10" s="2">
        <v>2.6319999999999998E-3</v>
      </c>
      <c r="O10" s="17"/>
      <c r="P10" s="17"/>
      <c r="Q10" s="16"/>
      <c r="R10" s="16"/>
    </row>
    <row r="11" spans="1:18" x14ac:dyDescent="0.25">
      <c r="A11" t="s">
        <v>29</v>
      </c>
      <c r="B11">
        <v>2400</v>
      </c>
      <c r="C11" t="s">
        <v>26</v>
      </c>
      <c r="F11" s="7" t="s">
        <v>32</v>
      </c>
      <c r="G11" s="2" t="s">
        <v>33</v>
      </c>
      <c r="H11" s="2">
        <v>2.8926E-2</v>
      </c>
      <c r="I11" s="2">
        <v>4.744E-3</v>
      </c>
      <c r="J11" s="17">
        <v>9.1346381999999997E-3</v>
      </c>
      <c r="K11" s="2">
        <v>3.0752000000000002E-2</v>
      </c>
      <c r="L11" s="2">
        <v>7.8510000000000003E-3</v>
      </c>
      <c r="M11" s="5">
        <v>3.3799999999999998E-6</v>
      </c>
      <c r="O11" s="17"/>
      <c r="P11" s="17"/>
      <c r="Q11" s="16"/>
      <c r="R11" s="16"/>
    </row>
    <row r="12" spans="1:18" x14ac:dyDescent="0.25">
      <c r="F12" s="7" t="s">
        <v>36</v>
      </c>
      <c r="G12" s="2" t="s">
        <v>37</v>
      </c>
      <c r="H12" s="2">
        <v>1.7798000000000001E-2</v>
      </c>
      <c r="I12" s="2">
        <v>8.8360000000000001E-3</v>
      </c>
      <c r="J12" s="17">
        <v>2.2233099999999999E-5</v>
      </c>
      <c r="K12" s="2">
        <v>1.1078399999999999</v>
      </c>
      <c r="L12" s="2">
        <v>0</v>
      </c>
      <c r="M12" s="5">
        <v>1.4100000000000001E-5</v>
      </c>
      <c r="O12" s="17"/>
      <c r="P12" s="17"/>
      <c r="Q12" s="16"/>
      <c r="R12" s="16"/>
    </row>
    <row r="13" spans="1:18" x14ac:dyDescent="0.25">
      <c r="A13" t="s">
        <v>34</v>
      </c>
      <c r="B13">
        <v>35</v>
      </c>
      <c r="C13" t="s">
        <v>35</v>
      </c>
      <c r="F13" s="7" t="s">
        <v>39</v>
      </c>
      <c r="G13" s="2" t="s">
        <v>33</v>
      </c>
      <c r="H13" s="2">
        <v>1.1034E-2</v>
      </c>
      <c r="I13" s="2">
        <v>4.9376000000000003E-2</v>
      </c>
      <c r="J13" s="17">
        <v>3.5766075999999992E-3</v>
      </c>
      <c r="K13" s="2">
        <v>7.3169999999999997E-3</v>
      </c>
      <c r="L13" s="2">
        <v>1.248E-3</v>
      </c>
      <c r="M13" s="5">
        <v>9.3399999999999997E-7</v>
      </c>
      <c r="O13" s="17"/>
      <c r="P13" s="17"/>
      <c r="Q13" s="16"/>
      <c r="R13" s="16"/>
    </row>
    <row r="14" spans="1:18" x14ac:dyDescent="0.25">
      <c r="A14" t="s">
        <v>38</v>
      </c>
      <c r="B14">
        <v>20</v>
      </c>
      <c r="C14" t="s">
        <v>35</v>
      </c>
      <c r="F14" s="7" t="s">
        <v>40</v>
      </c>
      <c r="G14" s="2" t="s">
        <v>41</v>
      </c>
      <c r="H14" s="2">
        <v>3.9899999999999999E-4</v>
      </c>
      <c r="I14" s="2">
        <v>2.7900000000000001E-4</v>
      </c>
      <c r="J14" s="18">
        <v>1.019081E-6</v>
      </c>
      <c r="K14" s="2">
        <v>7.4899999999999999E-4</v>
      </c>
      <c r="L14" s="5">
        <v>1.57E-6</v>
      </c>
      <c r="M14" s="5">
        <v>3.7599999999999999E-8</v>
      </c>
      <c r="O14" s="17"/>
      <c r="P14" s="17"/>
      <c r="Q14" s="16"/>
      <c r="R14" s="16"/>
    </row>
    <row r="15" spans="1:18" x14ac:dyDescent="0.25">
      <c r="F15" s="8" t="s">
        <v>42</v>
      </c>
      <c r="G15" s="2" t="s">
        <v>43</v>
      </c>
      <c r="H15" s="2">
        <v>1.481106</v>
      </c>
      <c r="I15" s="2">
        <v>0.77304200000000001</v>
      </c>
      <c r="J15" s="17">
        <v>0.45732194199999998</v>
      </c>
      <c r="K15" s="2">
        <v>0.71073699999999995</v>
      </c>
      <c r="L15" s="2">
        <v>0.19568199999999999</v>
      </c>
      <c r="M15" s="2">
        <v>1.7799999999999999E-4</v>
      </c>
      <c r="O15" s="18"/>
      <c r="P15" s="17"/>
      <c r="Q15" s="19"/>
      <c r="R15" s="19"/>
    </row>
    <row r="16" spans="1:18" x14ac:dyDescent="0.25">
      <c r="O16" s="17"/>
      <c r="P16" s="17"/>
      <c r="Q16" s="16"/>
      <c r="R16" s="16"/>
    </row>
    <row r="17" spans="1:18" x14ac:dyDescent="0.25">
      <c r="F17" s="17"/>
      <c r="G17" s="17"/>
      <c r="H17" s="17"/>
      <c r="I17" s="17"/>
      <c r="J17" s="17"/>
      <c r="K17" s="17"/>
      <c r="L17" s="17"/>
      <c r="M17" s="17"/>
      <c r="O17" s="17"/>
      <c r="P17" s="17"/>
      <c r="Q17" s="16"/>
      <c r="R17" s="16"/>
    </row>
    <row r="18" spans="1:18" x14ac:dyDescent="0.25">
      <c r="F18" s="17"/>
      <c r="G18" s="17"/>
      <c r="H18" s="17"/>
      <c r="I18" s="17"/>
      <c r="J18" s="17"/>
      <c r="K18" s="17"/>
      <c r="L18" s="17"/>
      <c r="M18" s="18"/>
      <c r="O18" s="17"/>
      <c r="P18" s="17"/>
      <c r="Q18" s="16"/>
      <c r="R18" s="16"/>
    </row>
    <row r="20" spans="1:18" x14ac:dyDescent="0.25">
      <c r="G20" t="s">
        <v>57</v>
      </c>
      <c r="H20" t="s">
        <v>58</v>
      </c>
      <c r="K20" s="22" t="s">
        <v>45</v>
      </c>
      <c r="L20" s="22"/>
      <c r="M20" s="22"/>
      <c r="N20" s="22"/>
    </row>
    <row r="21" spans="1:18" x14ac:dyDescent="0.25">
      <c r="F21" s="4" t="s">
        <v>14</v>
      </c>
      <c r="G21" s="6">
        <f t="shared" ref="G21:G32" si="0">$B$39*H4*$B$29+($B$41+$B$42)*J4+$B$43*K4*$B$30+$B$44*L4+$B$45*M4</f>
        <v>9.2469574990703216E-3</v>
      </c>
      <c r="H21" s="20">
        <v>2.0301E-2</v>
      </c>
      <c r="I21" s="6"/>
      <c r="K21" s="23" t="s">
        <v>65</v>
      </c>
      <c r="L21" s="23"/>
      <c r="M21" s="23" t="s">
        <v>66</v>
      </c>
      <c r="N21" s="23"/>
    </row>
    <row r="22" spans="1:18" x14ac:dyDescent="0.25">
      <c r="F22" s="4" t="s">
        <v>16</v>
      </c>
      <c r="G22" s="6">
        <f t="shared" si="0"/>
        <v>6.6035589862232739E-3</v>
      </c>
      <c r="H22" s="20">
        <v>3.1475000000000003E-2</v>
      </c>
      <c r="I22" s="6"/>
      <c r="K22" s="16" t="s">
        <v>57</v>
      </c>
      <c r="L22" s="24" t="s">
        <v>58</v>
      </c>
      <c r="M22" s="16" t="s">
        <v>57</v>
      </c>
      <c r="N22" s="24" t="s">
        <v>58</v>
      </c>
    </row>
    <row r="23" spans="1:18" x14ac:dyDescent="0.25">
      <c r="F23" s="4" t="s">
        <v>18</v>
      </c>
      <c r="G23" s="6">
        <f t="shared" si="0"/>
        <v>2.2433129677911561E-4</v>
      </c>
      <c r="H23" s="20">
        <v>4.37E-4</v>
      </c>
      <c r="I23" s="6"/>
      <c r="J23" s="4" t="s">
        <v>14</v>
      </c>
      <c r="K23" s="19">
        <f>G21*$B$10/$B$9</f>
        <v>21.099631861426257</v>
      </c>
      <c r="L23" s="16">
        <f>H21*$B$11</f>
        <v>48.7224</v>
      </c>
      <c r="M23" s="6">
        <f>K23/$B$13</f>
        <v>0.60284662461217875</v>
      </c>
      <c r="N23">
        <f>L23/$B$14</f>
        <v>2.4361199999999998</v>
      </c>
    </row>
    <row r="24" spans="1:18" x14ac:dyDescent="0.25">
      <c r="F24" s="4" t="s">
        <v>20</v>
      </c>
      <c r="G24" s="6">
        <f>$B$39*H7*$B$29+($B$41+$B$42)*J7+$B$43*K7*$B$30+$B$44*L7+$B$45*M7</f>
        <v>1.0762733940697971E-8</v>
      </c>
      <c r="H24" s="21">
        <v>9.2399999999999994E-8</v>
      </c>
      <c r="I24" s="6"/>
      <c r="J24" s="4" t="s">
        <v>16</v>
      </c>
      <c r="K24" s="19">
        <f>G22*$B$10/$B$9</f>
        <v>15.067946792069995</v>
      </c>
      <c r="L24" s="16">
        <f>H22*$B$11</f>
        <v>75.540000000000006</v>
      </c>
      <c r="M24" s="6">
        <f t="shared" ref="M24:M35" si="1">K24/$B$13</f>
        <v>0.43051276548771411</v>
      </c>
      <c r="N24">
        <f t="shared" ref="N24:N35" si="2">L24/$B$14</f>
        <v>3.7770000000000001</v>
      </c>
    </row>
    <row r="25" spans="1:18" x14ac:dyDescent="0.25">
      <c r="F25" s="4" t="s">
        <v>23</v>
      </c>
      <c r="G25" s="6">
        <f>$B$39*H8*$B$29+($B$41+$B$42)*J8+$B$43*K8*$B$30+$B$44*L8+$B$45*M8</f>
        <v>1.4731422479536245E-4</v>
      </c>
      <c r="H25" s="20">
        <v>3.6600000000000001E-4</v>
      </c>
      <c r="I25" s="6"/>
      <c r="J25" s="4" t="s">
        <v>18</v>
      </c>
      <c r="K25" s="19">
        <f>G23*$B$10/$B$9</f>
        <v>0.51187731505325695</v>
      </c>
      <c r="L25" s="16">
        <f>H23*$B$11</f>
        <v>1.0488</v>
      </c>
      <c r="M25" s="6">
        <f t="shared" si="1"/>
        <v>1.462506614437877E-2</v>
      </c>
      <c r="N25">
        <f t="shared" si="2"/>
        <v>5.2440000000000001E-2</v>
      </c>
    </row>
    <row r="26" spans="1:18" x14ac:dyDescent="0.25">
      <c r="F26" s="7" t="s">
        <v>27</v>
      </c>
      <c r="G26" s="6">
        <f>$B$39*H9*$B$29+($B$41+$B$42)*J9+$B$43*K9*$B$30+$B$44*L9+$B$45*M9</f>
        <v>39.603649234602194</v>
      </c>
      <c r="H26" s="20">
        <v>234.36089999999999</v>
      </c>
      <c r="I26" s="6"/>
      <c r="J26" s="4" t="s">
        <v>20</v>
      </c>
      <c r="K26" s="19">
        <f>G24*$B$10/$B$9</f>
        <v>2.455831812723655E-5</v>
      </c>
      <c r="L26" s="16">
        <f>H24*$B$11</f>
        <v>2.2175999999999999E-4</v>
      </c>
      <c r="M26" s="6">
        <f>K26/$B$13</f>
        <v>7.0166623220675862E-7</v>
      </c>
      <c r="N26">
        <f>L26/$B$14</f>
        <v>1.1088E-5</v>
      </c>
    </row>
    <row r="27" spans="1:18" x14ac:dyDescent="0.25">
      <c r="F27" s="7" t="s">
        <v>30</v>
      </c>
      <c r="G27" s="6">
        <f>$B$39*H10*$B$29+($B$41+$B$42)*J10+$B$43*K10*$B$30+$B$44*L10+$B$45*M10</f>
        <v>3.1293563211996989</v>
      </c>
      <c r="H27" s="20">
        <v>81.36645</v>
      </c>
      <c r="I27" s="6"/>
      <c r="J27" s="4" t="s">
        <v>23</v>
      </c>
      <c r="K27" s="19">
        <f>G25*$B$10/$B$9</f>
        <v>0.33614039119851491</v>
      </c>
      <c r="L27" s="16">
        <f>H25*$B$11</f>
        <v>0.87840000000000007</v>
      </c>
      <c r="M27" s="6">
        <f>K27/$B$13</f>
        <v>9.6040111771004254E-3</v>
      </c>
      <c r="N27">
        <f>L27/$B$14</f>
        <v>4.3920000000000001E-2</v>
      </c>
    </row>
    <row r="28" spans="1:18" x14ac:dyDescent="0.25">
      <c r="A28" t="s">
        <v>67</v>
      </c>
      <c r="F28" s="7" t="s">
        <v>32</v>
      </c>
      <c r="G28" s="6">
        <f>$B$39*H11*$B$29+($B$41+$B$42)*J11+$B$43*K11*$B$30+$B$44*L11+$B$45*M11</f>
        <v>4.7244667934029779E-3</v>
      </c>
      <c r="H28" s="20">
        <v>1.3409000000000001E-2</v>
      </c>
      <c r="I28" s="6"/>
      <c r="J28" s="7" t="s">
        <v>27</v>
      </c>
      <c r="K28" s="19">
        <f>G26*$B$10/$B$9</f>
        <v>90367.282352403417</v>
      </c>
      <c r="L28" s="16">
        <f>H26*$B$11</f>
        <v>562466.15999999992</v>
      </c>
      <c r="M28" s="6">
        <f>K28/$B$13</f>
        <v>2581.922352925812</v>
      </c>
      <c r="N28">
        <f>L28/$B$14</f>
        <v>28123.307999999997</v>
      </c>
    </row>
    <row r="29" spans="1:18" x14ac:dyDescent="0.25">
      <c r="A29" t="s">
        <v>47</v>
      </c>
      <c r="B29">
        <f>1-0.85*0.5</f>
        <v>0.57499999999999996</v>
      </c>
      <c r="F29" s="7" t="s">
        <v>36</v>
      </c>
      <c r="G29" s="6">
        <f>$B$39*H12*$B$29+($B$41+$B$42)*J12+$B$43*K12*$B$30+$B$44*L12+$B$45*M12</f>
        <v>1.7510587684638982E-2</v>
      </c>
      <c r="H29" s="20">
        <v>0.246367</v>
      </c>
      <c r="I29" s="6"/>
      <c r="J29" s="7" t="s">
        <v>30</v>
      </c>
      <c r="K29" s="19">
        <f>G27*$B$10/$B$9</f>
        <v>7140.5396150224788</v>
      </c>
      <c r="L29" s="16">
        <f>H27*$B$11</f>
        <v>195279.48</v>
      </c>
      <c r="M29" s="6">
        <f>K29/$B$13</f>
        <v>204.01541757207082</v>
      </c>
      <c r="N29">
        <f>L29/$B$14</f>
        <v>9763.9740000000002</v>
      </c>
    </row>
    <row r="30" spans="1:18" x14ac:dyDescent="0.25">
      <c r="A30" t="s">
        <v>48</v>
      </c>
      <c r="B30">
        <v>0.1</v>
      </c>
      <c r="F30" s="7" t="s">
        <v>39</v>
      </c>
      <c r="G30" s="6">
        <f>$B$39*H13*$B$29+($B$41+$B$42)*J13+$B$43*K13*$B$30+$B$44*L13+$B$45*M13</f>
        <v>1.2956093823569175E-3</v>
      </c>
      <c r="H30" s="20">
        <v>2.3249999999999998E-3</v>
      </c>
      <c r="I30" s="6"/>
      <c r="J30" s="7" t="s">
        <v>32</v>
      </c>
      <c r="K30" s="19">
        <f>G28*$B$10/$B$9</f>
        <v>10.780249621819713</v>
      </c>
      <c r="L30" s="16">
        <f>H28*$B$11</f>
        <v>32.181600000000003</v>
      </c>
      <c r="M30" s="6">
        <f>K30/$B$13</f>
        <v>0.30800713205199182</v>
      </c>
      <c r="N30">
        <f>L30/$B$14</f>
        <v>1.6090800000000001</v>
      </c>
    </row>
    <row r="31" spans="1:18" x14ac:dyDescent="0.25">
      <c r="F31" s="7" t="s">
        <v>40</v>
      </c>
      <c r="G31" s="6">
        <f>$B$39*H14*$B$29+($B$41+$B$42)*J14+$B$43*K14*$B$30+$B$44*L14+$B$45*M14</f>
        <v>3.6133515025421529E-5</v>
      </c>
      <c r="H31" s="20">
        <v>1.1900000000000001E-4</v>
      </c>
      <c r="I31" s="6"/>
      <c r="J31" s="7" t="s">
        <v>36</v>
      </c>
      <c r="K31" s="19">
        <f>G29*$B$10/$B$9</f>
        <v>39.955515515265709</v>
      </c>
      <c r="L31" s="16">
        <f>H29*$B$11</f>
        <v>591.2808</v>
      </c>
      <c r="M31" s="6">
        <f>K31/$B$13</f>
        <v>1.1415861575790203</v>
      </c>
      <c r="N31">
        <f>L31/$B$14</f>
        <v>29.564039999999999</v>
      </c>
    </row>
    <row r="32" spans="1:18" x14ac:dyDescent="0.25">
      <c r="A32" t="s">
        <v>49</v>
      </c>
      <c r="F32" s="8" t="s">
        <v>42</v>
      </c>
      <c r="G32" s="6">
        <f>$B$39*H15*$B$29+($B$41+$B$42)*J15+$B$43*K15*$B$30+$B$44*L15+$B$45*M15 - B43 * 2.2 * (1-$B$30) - 1.6*$B$43*$B$30</f>
        <v>-0.14115577029830562</v>
      </c>
      <c r="H32" s="20">
        <v>0.20904071699999999</v>
      </c>
      <c r="I32" s="6"/>
      <c r="J32" s="7" t="s">
        <v>39</v>
      </c>
      <c r="K32" s="19">
        <f>G30*$B$10/$B$9</f>
        <v>2.95631087378624</v>
      </c>
      <c r="L32" s="16">
        <f>H30*$B$11</f>
        <v>5.5799999999999992</v>
      </c>
      <c r="M32" s="6">
        <f>K32/$B$13</f>
        <v>8.4466024965321143E-2</v>
      </c>
      <c r="N32">
        <f>L32/$B$14</f>
        <v>0.27899999999999997</v>
      </c>
    </row>
    <row r="33" spans="1:14" x14ac:dyDescent="0.25">
      <c r="A33" t="s">
        <v>47</v>
      </c>
      <c r="B33">
        <v>1</v>
      </c>
      <c r="I33" s="6"/>
      <c r="J33" s="7" t="s">
        <v>40</v>
      </c>
      <c r="K33" s="19">
        <f>G31*$B$10/$B$9</f>
        <v>8.2449158544565554E-2</v>
      </c>
      <c r="L33" s="16">
        <f>H31*$B$11</f>
        <v>0.28560000000000002</v>
      </c>
      <c r="M33" s="6">
        <f>K33/$B$13</f>
        <v>2.3556902441304443E-3</v>
      </c>
      <c r="N33">
        <f>L33/$B$14</f>
        <v>1.4280000000000001E-2</v>
      </c>
    </row>
    <row r="34" spans="1:14" x14ac:dyDescent="0.25">
      <c r="A34" t="s">
        <v>48</v>
      </c>
      <c r="B34">
        <v>1</v>
      </c>
      <c r="F34" s="17"/>
      <c r="G34" s="19"/>
      <c r="H34" s="24"/>
      <c r="I34" s="6"/>
      <c r="J34" s="8" t="s">
        <v>42</v>
      </c>
      <c r="K34" s="19">
        <f>G32*$B$10/$B$9</f>
        <v>-322.08808018310162</v>
      </c>
      <c r="L34" s="16">
        <f>H32*$B$11</f>
        <v>501.69772079999996</v>
      </c>
      <c r="M34" s="6">
        <f>K34/$B$13</f>
        <v>-9.202516576660047</v>
      </c>
      <c r="N34">
        <f>L34/$B$14</f>
        <v>25.084886039999997</v>
      </c>
    </row>
    <row r="35" spans="1:14" x14ac:dyDescent="0.25">
      <c r="F35" s="17"/>
      <c r="G35" s="19"/>
      <c r="H35" s="24"/>
      <c r="I35" s="6"/>
    </row>
    <row r="36" spans="1:14" x14ac:dyDescent="0.25">
      <c r="A36" s="10" t="s">
        <v>67</v>
      </c>
      <c r="B36" s="10"/>
      <c r="C36" s="10"/>
    </row>
    <row r="37" spans="1:14" x14ac:dyDescent="0.25">
      <c r="A37" t="s">
        <v>50</v>
      </c>
      <c r="B37">
        <v>0.9</v>
      </c>
    </row>
    <row r="38" spans="1:14" x14ac:dyDescent="0.25">
      <c r="A38" s="11" t="s">
        <v>52</v>
      </c>
      <c r="B38" s="11" t="s">
        <v>53</v>
      </c>
      <c r="C38" s="11" t="s">
        <v>2</v>
      </c>
    </row>
    <row r="39" spans="1:14" x14ac:dyDescent="0.25">
      <c r="A39" t="s">
        <v>3</v>
      </c>
      <c r="B39">
        <f>0.142857*0.75</f>
        <v>0.10714275000000001</v>
      </c>
      <c r="C39" t="s">
        <v>4</v>
      </c>
    </row>
    <row r="40" spans="1:14" x14ac:dyDescent="0.25">
      <c r="A40" t="s">
        <v>6</v>
      </c>
      <c r="B40">
        <v>0</v>
      </c>
      <c r="C40" t="s">
        <v>4</v>
      </c>
    </row>
    <row r="41" spans="1:14" x14ac:dyDescent="0.25">
      <c r="A41" t="s">
        <v>54</v>
      </c>
      <c r="B41">
        <f>(104832*2/14)/B37/(3.6*10^6)</f>
        <v>4.622222222222222E-3</v>
      </c>
      <c r="C41" t="s">
        <v>13</v>
      </c>
    </row>
    <row r="42" spans="1:14" x14ac:dyDescent="0.25">
      <c r="A42" t="s">
        <v>55</v>
      </c>
      <c r="B42" s="12">
        <f>(156000)/B37/(3.6*10^6)</f>
        <v>4.8148148148148148E-2</v>
      </c>
      <c r="C42" t="s">
        <v>13</v>
      </c>
    </row>
    <row r="43" spans="1:14" x14ac:dyDescent="0.25">
      <c r="A43" t="s">
        <v>10</v>
      </c>
      <c r="B43">
        <v>0.148148</v>
      </c>
      <c r="C43" t="s">
        <v>4</v>
      </c>
    </row>
    <row r="44" spans="1:14" x14ac:dyDescent="0.25">
      <c r="A44" t="s">
        <v>11</v>
      </c>
      <c r="B44">
        <f xml:space="preserve"> B43/1000*1009 + B39*988.018/1000 + B40*988.018/1000</f>
        <v>0.2553402975695</v>
      </c>
      <c r="C44" t="s">
        <v>17</v>
      </c>
    </row>
    <row r="45" spans="1:14" x14ac:dyDescent="0.25">
      <c r="A45" t="s">
        <v>12</v>
      </c>
      <c r="B45">
        <f>0.1428572*0.25</f>
        <v>3.5714299999999997E-2</v>
      </c>
      <c r="C45" t="s">
        <v>4</v>
      </c>
    </row>
    <row r="47" spans="1:14" x14ac:dyDescent="0.25">
      <c r="A47" t="s">
        <v>56</v>
      </c>
      <c r="B47">
        <f>B41+B42</f>
        <v>5.277037037037037E-2</v>
      </c>
    </row>
  </sheetData>
  <mergeCells count="3">
    <mergeCell ref="K20:N20"/>
    <mergeCell ref="K21:L21"/>
    <mergeCell ref="M21:N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9807-CA49-4F40-9F2E-AB99723EA386}">
  <dimension ref="A1:S52"/>
  <sheetViews>
    <sheetView tabSelected="1" workbookViewId="0">
      <selection activeCell="M28" sqref="M28"/>
    </sheetView>
  </sheetViews>
  <sheetFormatPr defaultRowHeight="15" x14ac:dyDescent="0.25"/>
  <cols>
    <col min="8" max="8" width="9.28515625" bestFit="1" customWidth="1"/>
  </cols>
  <sheetData>
    <row r="1" spans="1:19" x14ac:dyDescent="0.25">
      <c r="A1" s="9" t="s">
        <v>0</v>
      </c>
      <c r="B1" s="9" t="s">
        <v>1</v>
      </c>
      <c r="C1" s="9" t="s">
        <v>2</v>
      </c>
    </row>
    <row r="2" spans="1:19" x14ac:dyDescent="0.25">
      <c r="A2" t="s">
        <v>3</v>
      </c>
      <c r="B2">
        <v>1</v>
      </c>
      <c r="C2" t="s">
        <v>4</v>
      </c>
      <c r="F2" s="1" t="s">
        <v>5</v>
      </c>
      <c r="G2" s="1"/>
      <c r="H2" s="1"/>
      <c r="I2" s="1"/>
      <c r="J2" s="1"/>
      <c r="K2" s="1"/>
      <c r="L2" s="1"/>
      <c r="M2" s="1"/>
      <c r="O2" s="16"/>
      <c r="P2" s="16"/>
      <c r="Q2" s="16"/>
      <c r="R2" s="16"/>
      <c r="S2" s="16"/>
    </row>
    <row r="3" spans="1:19" x14ac:dyDescent="0.25">
      <c r="A3" t="s">
        <v>6</v>
      </c>
      <c r="B3">
        <v>1</v>
      </c>
      <c r="C3" t="s">
        <v>4</v>
      </c>
      <c r="F3" s="2" t="s">
        <v>7</v>
      </c>
      <c r="G3" s="2" t="s">
        <v>8</v>
      </c>
      <c r="H3" s="2" t="s">
        <v>3</v>
      </c>
      <c r="I3" t="s">
        <v>6</v>
      </c>
      <c r="J3" s="16" t="s">
        <v>9</v>
      </c>
      <c r="K3" t="s">
        <v>10</v>
      </c>
      <c r="L3" t="s">
        <v>11</v>
      </c>
      <c r="M3" t="s">
        <v>12</v>
      </c>
      <c r="O3" s="16"/>
      <c r="P3" s="16"/>
      <c r="Q3" s="16"/>
      <c r="R3" s="16"/>
      <c r="S3" s="16"/>
    </row>
    <row r="4" spans="1:19" x14ac:dyDescent="0.25">
      <c r="A4" t="s">
        <v>9</v>
      </c>
      <c r="B4">
        <v>1</v>
      </c>
      <c r="C4" t="s">
        <v>13</v>
      </c>
      <c r="F4" s="2" t="s">
        <v>59</v>
      </c>
      <c r="G4" s="2" t="s">
        <v>60</v>
      </c>
      <c r="H4" s="5">
        <v>1.79E-6</v>
      </c>
      <c r="I4" s="5">
        <v>1.11E-6</v>
      </c>
      <c r="J4" s="18">
        <v>2.7980632000000001E-7</v>
      </c>
      <c r="K4" s="5">
        <v>2.21E-6</v>
      </c>
      <c r="L4" s="5">
        <v>1.74E-7</v>
      </c>
      <c r="M4" s="5">
        <v>1.7499999999999999E-10</v>
      </c>
      <c r="O4" s="18"/>
      <c r="P4" s="18"/>
      <c r="Q4" s="18"/>
      <c r="R4" s="18"/>
      <c r="S4" s="16"/>
    </row>
    <row r="5" spans="1:19" x14ac:dyDescent="0.25">
      <c r="A5" t="s">
        <v>10</v>
      </c>
      <c r="B5">
        <v>1</v>
      </c>
      <c r="C5" t="s">
        <v>4</v>
      </c>
      <c r="F5" s="2" t="s">
        <v>61</v>
      </c>
      <c r="G5" s="2" t="s">
        <v>62</v>
      </c>
      <c r="H5" s="2">
        <v>0.244754</v>
      </c>
      <c r="I5" s="2">
        <v>0.157254</v>
      </c>
      <c r="J5" s="17">
        <v>1.2588854999999998E-2</v>
      </c>
      <c r="K5" s="2">
        <v>2.1457639999999998</v>
      </c>
      <c r="L5" s="2">
        <v>1.2529999999999999E-2</v>
      </c>
      <c r="M5" s="2">
        <v>2.7399999999999999E-4</v>
      </c>
      <c r="O5" s="17"/>
      <c r="P5" s="17"/>
      <c r="Q5" s="17"/>
      <c r="R5" s="17"/>
      <c r="S5" s="16"/>
    </row>
    <row r="6" spans="1:19" x14ac:dyDescent="0.25">
      <c r="A6" t="s">
        <v>11</v>
      </c>
      <c r="B6">
        <v>1</v>
      </c>
      <c r="C6" t="s">
        <v>17</v>
      </c>
      <c r="F6" s="2" t="s">
        <v>63</v>
      </c>
      <c r="G6" s="2" t="s">
        <v>43</v>
      </c>
      <c r="H6" s="2">
        <v>1.481106</v>
      </c>
      <c r="I6" s="2">
        <v>0.77304200000000001</v>
      </c>
      <c r="J6" s="17">
        <v>0.45732194199999998</v>
      </c>
      <c r="K6" s="2">
        <v>0.71073699999999995</v>
      </c>
      <c r="L6" s="2">
        <v>0.19568199999999999</v>
      </c>
      <c r="M6" s="2">
        <v>1.7799999999999999E-4</v>
      </c>
      <c r="O6" s="17"/>
      <c r="P6" s="17"/>
      <c r="Q6" s="17"/>
      <c r="R6" s="17"/>
      <c r="S6" s="16"/>
    </row>
    <row r="7" spans="1:19" x14ac:dyDescent="0.25">
      <c r="A7" t="s">
        <v>12</v>
      </c>
      <c r="B7">
        <v>1</v>
      </c>
      <c r="C7" t="s">
        <v>4</v>
      </c>
      <c r="F7" s="2" t="s">
        <v>64</v>
      </c>
      <c r="G7" s="2" t="s">
        <v>44</v>
      </c>
      <c r="H7" s="2">
        <v>49.184440000000002</v>
      </c>
      <c r="I7" s="2">
        <v>41.79486</v>
      </c>
      <c r="J7" s="17">
        <v>6.5053717409999994</v>
      </c>
      <c r="K7" s="2">
        <v>10.717449999999999</v>
      </c>
      <c r="L7" s="2">
        <v>2.715706</v>
      </c>
      <c r="M7" s="2">
        <v>1.8710000000000001E-3</v>
      </c>
      <c r="O7" s="17"/>
      <c r="P7" s="17"/>
      <c r="Q7" s="17"/>
      <c r="R7" s="17"/>
      <c r="S7" s="16"/>
    </row>
    <row r="8" spans="1:19" x14ac:dyDescent="0.25">
      <c r="F8" s="17"/>
      <c r="G8" s="17"/>
      <c r="H8" s="18"/>
      <c r="I8" s="18"/>
      <c r="J8" s="18"/>
      <c r="K8" s="5"/>
      <c r="L8" s="5"/>
      <c r="M8" s="5"/>
      <c r="O8" s="5"/>
      <c r="P8" s="5"/>
      <c r="Q8" s="6"/>
      <c r="R8" s="6"/>
    </row>
    <row r="9" spans="1:19" x14ac:dyDescent="0.25">
      <c r="A9" t="s">
        <v>22</v>
      </c>
      <c r="B9">
        <f>1-0.208955</f>
        <v>0.791045</v>
      </c>
      <c r="F9" s="17"/>
      <c r="G9" s="17"/>
      <c r="H9" s="17"/>
      <c r="I9" s="17"/>
      <c r="J9" s="18"/>
      <c r="K9" s="2"/>
      <c r="L9" s="5"/>
      <c r="M9" s="5"/>
      <c r="O9" s="2"/>
      <c r="P9" s="2"/>
      <c r="Q9" s="6"/>
      <c r="R9" s="6"/>
    </row>
    <row r="10" spans="1:19" x14ac:dyDescent="0.25">
      <c r="A10" t="s">
        <v>25</v>
      </c>
      <c r="B10">
        <v>1805</v>
      </c>
      <c r="C10" t="s">
        <v>26</v>
      </c>
      <c r="F10" s="17"/>
      <c r="G10" s="17"/>
      <c r="H10" s="17"/>
      <c r="I10" s="17"/>
      <c r="J10" s="17"/>
      <c r="K10" s="2"/>
      <c r="L10" s="2"/>
      <c r="M10" s="2"/>
      <c r="O10" s="2"/>
      <c r="P10" s="2"/>
    </row>
    <row r="11" spans="1:19" x14ac:dyDescent="0.25">
      <c r="A11" t="s">
        <v>29</v>
      </c>
      <c r="B11">
        <v>2400</v>
      </c>
      <c r="C11" t="s">
        <v>26</v>
      </c>
      <c r="F11" s="17"/>
      <c r="G11" s="17"/>
      <c r="H11" s="17"/>
      <c r="I11" s="17"/>
      <c r="J11" s="17"/>
      <c r="K11" s="2"/>
      <c r="L11" s="2"/>
      <c r="M11" s="2"/>
      <c r="O11" s="2"/>
      <c r="P11" s="2"/>
    </row>
    <row r="12" spans="1:19" x14ac:dyDescent="0.25">
      <c r="F12" s="17"/>
      <c r="G12" s="17"/>
      <c r="H12" s="17"/>
      <c r="I12" s="17"/>
      <c r="J12" s="17"/>
      <c r="K12" s="2"/>
      <c r="L12" s="2"/>
      <c r="M12" s="5"/>
      <c r="O12" s="2"/>
      <c r="P12" s="2"/>
    </row>
    <row r="13" spans="1:19" x14ac:dyDescent="0.25">
      <c r="A13" t="s">
        <v>34</v>
      </c>
      <c r="B13">
        <v>35</v>
      </c>
      <c r="C13" t="s">
        <v>35</v>
      </c>
      <c r="F13" s="17"/>
      <c r="G13" s="17"/>
      <c r="H13" s="17"/>
      <c r="I13" s="17"/>
      <c r="J13" s="17"/>
      <c r="K13" s="2"/>
      <c r="L13" s="2"/>
      <c r="M13" s="5"/>
      <c r="O13" s="2"/>
      <c r="P13" s="2"/>
    </row>
    <row r="14" spans="1:19" x14ac:dyDescent="0.25">
      <c r="A14" t="s">
        <v>38</v>
      </c>
      <c r="B14">
        <v>20</v>
      </c>
      <c r="C14" t="s">
        <v>35</v>
      </c>
      <c r="F14" s="17"/>
      <c r="G14" s="17"/>
      <c r="H14" s="17"/>
      <c r="I14" s="17"/>
      <c r="J14" s="17"/>
      <c r="K14" s="2"/>
      <c r="L14" s="2"/>
      <c r="M14" s="5"/>
      <c r="O14" s="2"/>
      <c r="P14" s="2"/>
    </row>
    <row r="15" spans="1:19" x14ac:dyDescent="0.25">
      <c r="F15" s="17"/>
      <c r="G15" s="17"/>
      <c r="H15" s="17"/>
      <c r="I15" s="17"/>
      <c r="J15" s="18"/>
      <c r="K15" s="2"/>
      <c r="L15" s="5"/>
      <c r="M15" s="5"/>
      <c r="O15" s="5"/>
      <c r="P15" s="2"/>
      <c r="Q15" s="6"/>
      <c r="R15" s="6"/>
    </row>
    <row r="16" spans="1:19" x14ac:dyDescent="0.25">
      <c r="F16" s="17"/>
      <c r="G16" s="17"/>
      <c r="H16" s="17"/>
      <c r="I16" s="17"/>
      <c r="J16" s="17"/>
      <c r="K16" s="2"/>
      <c r="L16" s="2"/>
      <c r="M16" s="2"/>
      <c r="O16" s="2"/>
      <c r="P16" s="2"/>
    </row>
    <row r="17" spans="1:16" x14ac:dyDescent="0.25">
      <c r="F17" s="17"/>
      <c r="G17" s="17"/>
      <c r="H17" s="17"/>
      <c r="I17" s="17"/>
      <c r="J17" s="17"/>
      <c r="K17" s="2"/>
      <c r="L17" s="2"/>
      <c r="M17" s="2"/>
      <c r="O17" s="2"/>
      <c r="P17" s="2"/>
    </row>
    <row r="18" spans="1:16" x14ac:dyDescent="0.25">
      <c r="F18" s="17"/>
      <c r="G18" s="17"/>
      <c r="H18" s="17"/>
      <c r="I18" s="17"/>
      <c r="J18" s="17"/>
      <c r="K18" s="2"/>
      <c r="L18" s="2"/>
      <c r="M18" s="5"/>
      <c r="O18" s="2"/>
      <c r="P18" s="2"/>
    </row>
    <row r="20" spans="1:16" x14ac:dyDescent="0.25">
      <c r="G20" t="s">
        <v>45</v>
      </c>
    </row>
    <row r="21" spans="1:16" x14ac:dyDescent="0.25">
      <c r="F21" s="2" t="s">
        <v>59</v>
      </c>
      <c r="G21" s="6">
        <f>$B$39*H4*$B$29+($B$41+$B$42)*J4+$B$43*K4*$B$30+$B$44*L4+$B$45*M4</f>
        <v>2.0221832835546337E-7</v>
      </c>
      <c r="H21" s="6">
        <f>P4</f>
        <v>0</v>
      </c>
      <c r="I21" s="6">
        <f>$B$39*H4*$B$33+($B$41+$B$42)*J4+$B$43*K4*$B$34+$B$44*L4+$B$45*M4</f>
        <v>5.7839354741796347E-7</v>
      </c>
    </row>
    <row r="22" spans="1:16" x14ac:dyDescent="0.25">
      <c r="F22" s="2" t="s">
        <v>61</v>
      </c>
      <c r="G22" s="6">
        <f>$B$39*H5*$B$29+($B$41+$B$42)*J5+$B$43*K5*$B$30+$B$44*L5+$B$45*M5</f>
        <v>5.0741162259097222E-2</v>
      </c>
      <c r="H22">
        <f t="shared" ref="H22:H24" si="0">P5</f>
        <v>0</v>
      </c>
      <c r="I22" s="6">
        <f>$B$39*H5*$B$33+($B$41+$B$42)*J5+$B$43*K5*$B$34+$B$44*L5+$B$45*M5</f>
        <v>0.34798777989313467</v>
      </c>
    </row>
    <row r="23" spans="1:16" x14ac:dyDescent="0.25">
      <c r="F23" s="2" t="s">
        <v>63</v>
      </c>
      <c r="G23" s="6">
        <v>-9.7516083580893087E-2</v>
      </c>
      <c r="H23">
        <v>0.20904071699999999</v>
      </c>
      <c r="I23" s="6">
        <f>$B$39*H6*$B$33+($B$41+$B$42)*J6+$B$43*K6*$B$34+$B$44*L6+$B$45*M6</f>
        <v>0.33808894046973198</v>
      </c>
    </row>
    <row r="24" spans="1:16" x14ac:dyDescent="0.25">
      <c r="F24" s="2"/>
      <c r="G24" s="6"/>
      <c r="I24" s="6"/>
    </row>
    <row r="25" spans="1:16" x14ac:dyDescent="0.25">
      <c r="F25" s="17"/>
      <c r="G25" s="6"/>
      <c r="I25" s="6"/>
    </row>
    <row r="26" spans="1:16" x14ac:dyDescent="0.25">
      <c r="F26" s="17"/>
      <c r="G26" s="6"/>
      <c r="I26" s="6"/>
    </row>
    <row r="27" spans="1:16" x14ac:dyDescent="0.25">
      <c r="F27" s="17"/>
      <c r="G27" s="6"/>
      <c r="I27" s="6"/>
    </row>
    <row r="28" spans="1:16" x14ac:dyDescent="0.25">
      <c r="A28" t="s">
        <v>46</v>
      </c>
      <c r="F28" s="17"/>
      <c r="G28" s="6"/>
      <c r="I28" s="6"/>
    </row>
    <row r="29" spans="1:16" x14ac:dyDescent="0.25">
      <c r="A29" t="s">
        <v>47</v>
      </c>
      <c r="B29">
        <f>1-0.85*0.5</f>
        <v>0.57499999999999996</v>
      </c>
      <c r="F29" s="17"/>
      <c r="G29" s="6"/>
      <c r="I29" s="6"/>
    </row>
    <row r="30" spans="1:16" x14ac:dyDescent="0.25">
      <c r="A30" t="s">
        <v>48</v>
      </c>
      <c r="B30">
        <v>0.1</v>
      </c>
      <c r="F30" s="17"/>
      <c r="G30" s="6"/>
      <c r="I30" s="6"/>
    </row>
    <row r="31" spans="1:16" x14ac:dyDescent="0.25">
      <c r="F31" s="17"/>
      <c r="G31" s="6"/>
      <c r="I31" s="6"/>
    </row>
    <row r="32" spans="1:16" x14ac:dyDescent="0.25">
      <c r="A32" t="s">
        <v>49</v>
      </c>
      <c r="F32" s="17"/>
      <c r="G32" s="6"/>
      <c r="I32" s="6"/>
    </row>
    <row r="33" spans="1:14" x14ac:dyDescent="0.25">
      <c r="A33" t="s">
        <v>47</v>
      </c>
      <c r="B33">
        <v>1</v>
      </c>
      <c r="F33" s="17"/>
      <c r="G33" s="6"/>
      <c r="I33" s="6"/>
    </row>
    <row r="34" spans="1:14" x14ac:dyDescent="0.25">
      <c r="A34" t="s">
        <v>48</v>
      </c>
      <c r="B34">
        <v>1</v>
      </c>
      <c r="F34" s="17"/>
      <c r="G34" s="6"/>
      <c r="I34" s="6"/>
    </row>
    <row r="35" spans="1:14" x14ac:dyDescent="0.25">
      <c r="F35" s="17"/>
      <c r="G35" s="6"/>
      <c r="I35" s="6"/>
    </row>
    <row r="36" spans="1:14" x14ac:dyDescent="0.25">
      <c r="A36" s="10" t="s">
        <v>46</v>
      </c>
      <c r="B36" s="10"/>
      <c r="C36" s="10"/>
    </row>
    <row r="37" spans="1:14" x14ac:dyDescent="0.25">
      <c r="A37" t="s">
        <v>50</v>
      </c>
      <c r="B37">
        <v>0.9</v>
      </c>
      <c r="G37" s="14" t="s">
        <v>45</v>
      </c>
      <c r="H37" s="14"/>
      <c r="I37" s="14" t="s">
        <v>51</v>
      </c>
      <c r="J37" s="14"/>
      <c r="K37" s="16"/>
      <c r="L37" s="15" t="s">
        <v>58</v>
      </c>
      <c r="M37" s="16"/>
      <c r="N37" s="16"/>
    </row>
    <row r="38" spans="1:14" x14ac:dyDescent="0.25">
      <c r="A38" s="11" t="s">
        <v>52</v>
      </c>
      <c r="B38" s="11" t="s">
        <v>53</v>
      </c>
      <c r="C38" s="11" t="s">
        <v>2</v>
      </c>
      <c r="F38" s="2" t="s">
        <v>59</v>
      </c>
      <c r="G38" s="13">
        <f>G21*$B$10/$B$9</f>
        <v>4.6142012487483187E-4</v>
      </c>
      <c r="H38" s="13">
        <f>H21*$B$11</f>
        <v>0</v>
      </c>
      <c r="I38" s="6">
        <f>G38/$B$13</f>
        <v>1.318343213928091E-5</v>
      </c>
      <c r="J38">
        <f>H38/$B$14</f>
        <v>0</v>
      </c>
      <c r="K38" s="19"/>
      <c r="L38" s="3">
        <v>4.51E-7</v>
      </c>
      <c r="M38" s="6"/>
    </row>
    <row r="39" spans="1:14" x14ac:dyDescent="0.25">
      <c r="A39" t="s">
        <v>3</v>
      </c>
      <c r="B39">
        <f>0.142857*0.75</f>
        <v>0.10714275000000001</v>
      </c>
      <c r="C39" t="s">
        <v>4</v>
      </c>
      <c r="F39" s="2" t="s">
        <v>61</v>
      </c>
      <c r="G39" s="13">
        <f t="shared" ref="G39:G40" si="1">G22*$B$10/$B$9</f>
        <v>115.78076832249806</v>
      </c>
      <c r="H39" s="3">
        <f t="shared" ref="H39:H40" si="2">H22*$B$11</f>
        <v>0</v>
      </c>
      <c r="I39" s="6">
        <f t="shared" ref="I39:I40" si="3">G39/$B$13</f>
        <v>3.3080219520713734</v>
      </c>
      <c r="J39">
        <f t="shared" ref="J39:J40" si="4">H39/$B$14</f>
        <v>0</v>
      </c>
      <c r="K39" s="19"/>
      <c r="L39" s="3">
        <v>0.93786000000000003</v>
      </c>
      <c r="M39" s="6"/>
    </row>
    <row r="40" spans="1:14" x14ac:dyDescent="0.25">
      <c r="A40" t="s">
        <v>6</v>
      </c>
      <c r="B40">
        <v>0</v>
      </c>
      <c r="C40" t="s">
        <v>4</v>
      </c>
      <c r="F40" s="2" t="s">
        <v>63</v>
      </c>
      <c r="G40" s="13">
        <f t="shared" si="1"/>
        <v>-222.51140056951505</v>
      </c>
      <c r="H40" s="3">
        <f t="shared" si="2"/>
        <v>501.69772079999996</v>
      </c>
      <c r="I40" s="6">
        <f t="shared" si="3"/>
        <v>-6.3574685877004296</v>
      </c>
      <c r="J40">
        <f t="shared" si="4"/>
        <v>25.084886039999997</v>
      </c>
      <c r="K40" s="19"/>
      <c r="L40" s="3">
        <v>0.33843400000000001</v>
      </c>
      <c r="M40" s="6"/>
    </row>
    <row r="41" spans="1:14" x14ac:dyDescent="0.25">
      <c r="A41" t="s">
        <v>54</v>
      </c>
      <c r="B41">
        <f>(104832*2/14)/B37/(3.6*10^6)</f>
        <v>4.622222222222222E-3</v>
      </c>
      <c r="C41" t="s">
        <v>13</v>
      </c>
      <c r="F41" s="6"/>
    </row>
    <row r="42" spans="1:14" x14ac:dyDescent="0.25">
      <c r="A42" t="s">
        <v>55</v>
      </c>
      <c r="B42" s="12">
        <f>(156000)/B37/(3.6*10^6)</f>
        <v>4.8148148148148148E-2</v>
      </c>
      <c r="C42" t="s">
        <v>13</v>
      </c>
      <c r="F42" s="17"/>
      <c r="G42" s="19"/>
      <c r="H42" s="16"/>
      <c r="I42" s="19"/>
      <c r="J42" s="16"/>
      <c r="K42" s="19"/>
      <c r="L42" s="16"/>
      <c r="M42" s="6"/>
    </row>
    <row r="43" spans="1:14" x14ac:dyDescent="0.25">
      <c r="A43" t="s">
        <v>10</v>
      </c>
      <c r="B43">
        <v>0.148148</v>
      </c>
      <c r="C43" t="s">
        <v>4</v>
      </c>
      <c r="F43" s="17"/>
      <c r="G43" s="19"/>
      <c r="H43" s="16"/>
      <c r="I43" s="19"/>
      <c r="J43" s="16"/>
      <c r="K43" s="19"/>
      <c r="L43" s="16"/>
      <c r="M43" s="6"/>
    </row>
    <row r="44" spans="1:14" x14ac:dyDescent="0.25">
      <c r="A44" t="s">
        <v>11</v>
      </c>
      <c r="B44">
        <f xml:space="preserve"> B43/1000*1009 + B39*988.018/1000 + B40*988.018/1000</f>
        <v>0.2553402975695</v>
      </c>
      <c r="C44" t="s">
        <v>17</v>
      </c>
      <c r="F44" s="17"/>
      <c r="G44" s="19"/>
      <c r="H44" s="16"/>
      <c r="I44" s="19"/>
      <c r="J44" s="16"/>
      <c r="K44" s="19"/>
      <c r="L44" s="16"/>
      <c r="M44" s="6"/>
    </row>
    <row r="45" spans="1:14" x14ac:dyDescent="0.25">
      <c r="A45" t="s">
        <v>12</v>
      </c>
      <c r="B45">
        <f>0.1428572*0.25</f>
        <v>3.5714299999999997E-2</v>
      </c>
      <c r="C45" t="s">
        <v>4</v>
      </c>
      <c r="F45" s="17"/>
      <c r="G45" s="19"/>
      <c r="H45" s="16"/>
      <c r="I45" s="19"/>
      <c r="J45" s="16"/>
      <c r="K45" s="19"/>
      <c r="L45" s="16"/>
      <c r="M45" s="6"/>
    </row>
    <row r="46" spans="1:14" x14ac:dyDescent="0.25">
      <c r="F46" s="17"/>
      <c r="G46" s="19"/>
      <c r="H46" s="16"/>
      <c r="I46" s="19"/>
      <c r="J46" s="16"/>
      <c r="K46" s="19"/>
      <c r="L46" s="16"/>
      <c r="M46" s="6"/>
    </row>
    <row r="47" spans="1:14" x14ac:dyDescent="0.25">
      <c r="A47" t="s">
        <v>56</v>
      </c>
      <c r="B47">
        <f>B41+B42</f>
        <v>5.277037037037037E-2</v>
      </c>
      <c r="F47" s="17"/>
      <c r="G47" s="19"/>
      <c r="H47" s="16"/>
      <c r="I47" s="19"/>
      <c r="J47" s="16"/>
      <c r="K47" s="19"/>
      <c r="L47" s="16"/>
      <c r="M47" s="6"/>
    </row>
    <row r="48" spans="1:14" x14ac:dyDescent="0.25">
      <c r="F48" s="17"/>
      <c r="G48" s="19"/>
      <c r="H48" s="16"/>
      <c r="I48" s="19"/>
      <c r="J48" s="16"/>
      <c r="K48" s="19"/>
      <c r="L48" s="16"/>
      <c r="M48" s="6"/>
    </row>
    <row r="49" spans="6:13" x14ac:dyDescent="0.25">
      <c r="F49" s="17"/>
      <c r="G49" s="19"/>
      <c r="H49" s="16"/>
      <c r="I49" s="19"/>
      <c r="J49" s="16"/>
      <c r="K49" s="19"/>
      <c r="L49" s="16"/>
      <c r="M49" s="6"/>
    </row>
    <row r="50" spans="6:13" x14ac:dyDescent="0.25">
      <c r="F50" s="17"/>
      <c r="G50" s="19"/>
      <c r="H50" s="16"/>
      <c r="I50" s="19"/>
      <c r="J50" s="16"/>
      <c r="K50" s="19"/>
      <c r="L50" s="16"/>
      <c r="M50" s="6"/>
    </row>
    <row r="51" spans="6:13" x14ac:dyDescent="0.25">
      <c r="F51" s="17"/>
      <c r="G51" s="19"/>
      <c r="H51" s="16"/>
      <c r="I51" s="19"/>
      <c r="J51" s="16"/>
      <c r="K51" s="19"/>
      <c r="L51" s="16"/>
      <c r="M51" s="6"/>
    </row>
    <row r="52" spans="6:13" x14ac:dyDescent="0.25">
      <c r="F52" s="17"/>
      <c r="G52" s="19"/>
      <c r="H52" s="16"/>
      <c r="I52" s="19"/>
      <c r="J52" s="16"/>
      <c r="K52" s="19"/>
      <c r="L52" s="16"/>
      <c r="M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Characterization</vt:lpstr>
      <vt:lpstr>Damage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Barney Haoyun Miao</cp:lastModifiedBy>
  <cp:revision/>
  <dcterms:created xsi:type="dcterms:W3CDTF">2026-04-18T01:46:37Z</dcterms:created>
  <dcterms:modified xsi:type="dcterms:W3CDTF">2026-07-08T22:58:34Z</dcterms:modified>
  <cp:category/>
  <cp:contentStatus/>
</cp:coreProperties>
</file>